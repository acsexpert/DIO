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sa.santos\Downloads\"/>
    </mc:Choice>
  </mc:AlternateContent>
  <xr:revisionPtr revIDLastSave="0" documentId="13_ncr:1_{2D0F7AF9-B1DD-478F-A32C-8ACD39A9AB75}" xr6:coauthVersionLast="47" xr6:coauthVersionMax="47" xr10:uidLastSave="{00000000-0000-0000-0000-000000000000}"/>
  <bookViews>
    <workbookView xWindow="-108" yWindow="-108" windowWidth="23256" windowHeight="12456" xr2:uid="{27B70F96-7920-4AD4-AEFA-E2C24891846B}"/>
  </bookViews>
  <sheets>
    <sheet name="APP" sheetId="1" r:id="rId1"/>
    <sheet name="Suporte" sheetId="2" r:id="rId2"/>
  </sheets>
  <definedNames>
    <definedName name="anos_invest">APP!$C$14</definedName>
    <definedName name="aporte">APP!$C$13</definedName>
    <definedName name="rend_carteira">APP!$C$9</definedName>
    <definedName name="sug_invest">APP!$C$10</definedName>
    <definedName name="taxa_mensal">APP!$C$15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1" i="1"/>
  <c r="G17" i="1" s="1"/>
  <c r="G8" i="1"/>
  <c r="C16" i="1"/>
  <c r="C17" i="1" s="1"/>
  <c r="C23" i="1"/>
  <c r="D23" i="1" s="1"/>
  <c r="C10" i="1"/>
  <c r="C22" i="1"/>
  <c r="D22" i="1" s="1"/>
  <c r="C25" i="1"/>
  <c r="D25" i="1" s="1"/>
  <c r="C21" i="1"/>
  <c r="D21" i="1" s="1"/>
  <c r="H14" i="1" l="1"/>
  <c r="H11" i="1"/>
  <c r="H15" i="1"/>
  <c r="H12" i="1"/>
  <c r="H16" i="1"/>
  <c r="H13" i="1"/>
  <c r="C24" i="1"/>
  <c r="D24" i="1" s="1"/>
  <c r="H17" i="1" l="1"/>
</calcChain>
</file>

<file path=xl/sharedStrings.xml><?xml version="1.0" encoding="utf-8"?>
<sst xmlns="http://schemas.openxmlformats.org/spreadsheetml/2006/main" count="85" uniqueCount="49">
  <si>
    <t>Quanto investir por mês?</t>
  </si>
  <si>
    <t>Por quantos anos?</t>
  </si>
  <si>
    <t>Taxa de rendimento mensal?</t>
  </si>
  <si>
    <t>Patrimônio acumulado?</t>
  </si>
  <si>
    <t>Dividendos Mensais?</t>
  </si>
  <si>
    <t>DIO INVEST</t>
  </si>
  <si>
    <t>INVESTIMENTO MENSAL</t>
  </si>
  <si>
    <t>Anos</t>
  </si>
  <si>
    <t>Valor</t>
  </si>
  <si>
    <t>CENÁRIOS</t>
  </si>
  <si>
    <t>Dividendos</t>
  </si>
  <si>
    <t>Redimento carteira</t>
  </si>
  <si>
    <t>Salário</t>
  </si>
  <si>
    <t>Sugestão investimento</t>
  </si>
  <si>
    <t>CONFIGURAÇÕES</t>
  </si>
  <si>
    <t>CHAVE</t>
  </si>
  <si>
    <t>PERFIL</t>
  </si>
  <si>
    <t>TIPO DE FII</t>
  </si>
  <si>
    <t>%</t>
  </si>
  <si>
    <t>Conservador-PAPEL</t>
  </si>
  <si>
    <t>Conservador</t>
  </si>
  <si>
    <t>PAPEL</t>
  </si>
  <si>
    <t>Conservador-TIJOLO</t>
  </si>
  <si>
    <t>TIJOLO</t>
  </si>
  <si>
    <t>Conservador-HÍBRIDOS</t>
  </si>
  <si>
    <t>HÍBRIDOS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</si>
  <si>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</si>
  <si>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</si>
  <si>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</si>
  <si>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</si>
  <si>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</si>
  <si>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</si>
  <si>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</si>
  <si>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</si>
  <si>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</si>
  <si>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</si>
  <si>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</si>
  <si>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</si>
  <si>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</si>
  <si>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</si>
  <si>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</si>
  <si>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</si>
  <si>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</si>
  <si>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</si>
  <si>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</si>
  <si>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</si>
  <si>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VALOR A SER INVESTIDO POR MÊS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</si>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</sst>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Calibri"/>
      <family val="2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24">
    <border>
      <left/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499984740745262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499984740745262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249977111117893"/>
      </left>
      <right style="thin">
        <color theme="0" tint="-0.14999847407452621"/>
      </right>
      <top style="thin">
        <color theme="0" tint="-0.14999847407452621"/>
      </top>
      <bottom style="medium">
        <color theme="0" tint="-0.249977111117893"/>
      </bottom>
      <diagonal/>
    </border>
    <border>
      <left style="thin">
        <color theme="0" tint="-0.14999847407452621"/>
      </left>
      <right style="medium">
        <color theme="0" tint="-0.249977111117893"/>
      </right>
      <top style="thin">
        <color theme="0" tint="-0.14999847407452621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499984740745262"/>
      </bottom>
      <diagonal/>
    </border>
    <border>
      <left style="medium">
        <color theme="0" tint="-0.249977111117893"/>
      </left>
      <right/>
      <top style="thin">
        <color theme="0" tint="-0.499984740745262"/>
      </top>
      <bottom/>
      <diagonal/>
    </border>
    <border>
      <left/>
      <right style="medium">
        <color theme="0" tint="-0.249977111117893"/>
      </right>
      <top style="thin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3" borderId="0" xfId="0" applyFont="1" applyFill="1"/>
    <xf numFmtId="44" fontId="3" fillId="0" borderId="0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0" fillId="0" borderId="6" xfId="0" applyBorder="1"/>
    <xf numFmtId="44" fontId="3" fillId="0" borderId="7" xfId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0" fontId="0" fillId="0" borderId="8" xfId="0" applyBorder="1"/>
    <xf numFmtId="44" fontId="3" fillId="0" borderId="9" xfId="1" applyFont="1" applyBorder="1" applyAlignment="1">
      <alignment horizontal="center"/>
    </xf>
    <xf numFmtId="0" fontId="0" fillId="0" borderId="12" xfId="0" applyBorder="1"/>
    <xf numFmtId="44" fontId="3" fillId="0" borderId="13" xfId="1" applyFont="1" applyBorder="1" applyAlignment="1">
      <alignment horizontal="center"/>
    </xf>
    <xf numFmtId="0" fontId="0" fillId="0" borderId="14" xfId="0" applyBorder="1"/>
    <xf numFmtId="0" fontId="3" fillId="0" borderId="15" xfId="0" applyFont="1" applyBorder="1" applyAlignment="1">
      <alignment horizontal="center"/>
    </xf>
    <xf numFmtId="10" fontId="3" fillId="0" borderId="15" xfId="2" applyNumberFormat="1" applyFont="1" applyBorder="1" applyAlignment="1">
      <alignment horizontal="center"/>
    </xf>
    <xf numFmtId="0" fontId="3" fillId="2" borderId="14" xfId="0" applyFont="1" applyFill="1" applyBorder="1"/>
    <xf numFmtId="8" fontId="3" fillId="2" borderId="15" xfId="0" applyNumberFormat="1" applyFont="1" applyFill="1" applyBorder="1" applyAlignment="1">
      <alignment horizontal="center"/>
    </xf>
    <xf numFmtId="0" fontId="3" fillId="2" borderId="16" xfId="0" applyFont="1" applyFill="1" applyBorder="1"/>
    <xf numFmtId="8" fontId="3" fillId="2" borderId="17" xfId="0" applyNumberFormat="1" applyFont="1" applyFill="1" applyBorder="1" applyAlignment="1">
      <alignment horizontal="center"/>
    </xf>
    <xf numFmtId="44" fontId="3" fillId="0" borderId="21" xfId="1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5" fillId="3" borderId="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9" fontId="7" fillId="0" borderId="0" xfId="0" applyNumberFormat="1" applyFont="1" applyFill="1" applyAlignment="1">
      <alignment horizontal="center"/>
    </xf>
    <xf numFmtId="0" fontId="7" fillId="0" borderId="22" xfId="0" applyFont="1" applyFill="1" applyBorder="1"/>
    <xf numFmtId="0" fontId="7" fillId="0" borderId="22" xfId="0" applyFont="1" applyFill="1" applyBorder="1" applyAlignment="1">
      <alignment horizontal="center"/>
    </xf>
    <xf numFmtId="9" fontId="7" fillId="0" borderId="22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/>
    </xf>
    <xf numFmtId="0" fontId="8" fillId="8" borderId="0" xfId="0" applyFont="1" applyFill="1"/>
    <xf numFmtId="8" fontId="8" fillId="8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right"/>
    </xf>
    <xf numFmtId="0" fontId="2" fillId="6" borderId="0" xfId="0" applyFont="1" applyFill="1" applyAlignment="1">
      <alignment horizontal="center"/>
    </xf>
    <xf numFmtId="0" fontId="7" fillId="0" borderId="23" xfId="0" applyFont="1" applyBorder="1" applyAlignment="1">
      <alignment horizontal="center"/>
    </xf>
    <xf numFmtId="9" fontId="7" fillId="0" borderId="23" xfId="0" applyNumberFormat="1" applyFont="1" applyBorder="1" applyAlignment="1">
      <alignment horizontal="center"/>
    </xf>
    <xf numFmtId="8" fontId="7" fillId="9" borderId="23" xfId="0" applyNumberFormat="1" applyFont="1" applyFill="1" applyBorder="1" applyAlignment="1">
      <alignment horizontal="center"/>
    </xf>
    <xf numFmtId="0" fontId="3" fillId="2" borderId="23" xfId="0" applyFont="1" applyFill="1" applyBorder="1"/>
    <xf numFmtId="8" fontId="3" fillId="2" borderId="23" xfId="0" applyNumberFormat="1" applyFont="1" applyFill="1" applyBorder="1"/>
    <xf numFmtId="0" fontId="2" fillId="5" borderId="19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9" fontId="3" fillId="2" borderId="23" xfId="0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APP!$G$7</c:f>
          <c:strCache>
            <c:ptCount val="1"/>
            <c:pt idx="0">
              <c:v>Moderado</c:v>
            </c:pt>
          </c:strCache>
        </c:strRef>
      </c:tx>
      <c:layout>
        <c:manualLayout>
          <c:xMode val="edge"/>
          <c:yMode val="edge"/>
          <c:x val="0.23108827350855496"/>
          <c:y val="2.243158366980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916855820457833E-2"/>
          <c:y val="0.13873386957182168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APP!$G$10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tint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4">
                  <a:tint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shade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4">
                  <a:shade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4">
                  <a:shade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APP!$F$11:$F$16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APP!$G$11:$G$16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535-B5E6-8211F15740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APP!$H$10</c15:sqref>
                        </c15:formulaRef>
                      </c:ext>
                    </c:extLst>
                    <c:strCache>
                      <c:ptCount val="1"/>
                      <c:pt idx="0">
                        <c:v>Valores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4">
                        <a:tint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4">
                        <a:tint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2"/>
                  <c:bubble3D val="0"/>
                  <c:spPr>
                    <a:solidFill>
                      <a:schemeClr val="accent4">
                        <a:tint val="9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3"/>
                  <c:bubble3D val="0"/>
                  <c:spPr>
                    <a:solidFill>
                      <a:schemeClr val="accent4">
                        <a:shade val="9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4"/>
                  <c:bubble3D val="0"/>
                  <c:spPr>
                    <a:solidFill>
                      <a:schemeClr val="accent4">
                        <a:shade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Pt>
                  <c:idx val="5"/>
                  <c:bubble3D val="0"/>
                  <c:spPr>
                    <a:solidFill>
                      <a:schemeClr val="accent4">
                        <a:shade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APP!$F$11:$F$16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APP!$H$11:$H$16</c15:sqref>
                        </c15:formulaRef>
                      </c:ext>
                    </c:extLst>
                    <c:numCache>
                      <c:formatCode>"R$"#,##0.00_);[Red]\("R$"#,##0.00\)</c:formatCode>
                      <c:ptCount val="6"/>
                      <c:pt idx="0">
                        <c:v>64</c:v>
                      </c:pt>
                      <c:pt idx="1">
                        <c:v>70</c:v>
                      </c:pt>
                      <c:pt idx="2">
                        <c:v>16</c:v>
                      </c:pt>
                      <c:pt idx="3">
                        <c:v>10</c:v>
                      </c:pt>
                      <c:pt idx="4">
                        <c:v>20</c:v>
                      </c:pt>
                      <c:pt idx="5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019-4535-B5E6-8211F1574087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1</xdr:row>
      <xdr:rowOff>114301</xdr:rowOff>
    </xdr:from>
    <xdr:to>
      <xdr:col>1</xdr:col>
      <xdr:colOff>1539547</xdr:colOff>
      <xdr:row>4</xdr:row>
      <xdr:rowOff>106680</xdr:rowOff>
    </xdr:to>
    <xdr:pic>
      <xdr:nvPicPr>
        <xdr:cNvPr id="2" name="Imagem 1" descr="DIO | Codifique o seu futuro global agora">
          <a:extLst>
            <a:ext uri="{FF2B5EF4-FFF2-40B4-BE49-F238E27FC236}">
              <a16:creationId xmlns:a16="http://schemas.microsoft.com/office/drawing/2014/main" id="{F7D742C7-C390-D5A2-37F8-46FA0E73F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297181"/>
          <a:ext cx="1417627" cy="541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22860</xdr:colOff>
      <xdr:row>17</xdr:row>
      <xdr:rowOff>110490</xdr:rowOff>
    </xdr:from>
    <xdr:to>
      <xdr:col>8</xdr:col>
      <xdr:colOff>7620</xdr:colOff>
      <xdr:row>33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90C8D4-AB32-2CD0-94FA-222A9EFF3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</xdr:colOff>
      <xdr:row>17</xdr:row>
      <xdr:rowOff>160020</xdr:rowOff>
    </xdr:from>
    <xdr:to>
      <xdr:col>5</xdr:col>
      <xdr:colOff>830580</xdr:colOff>
      <xdr:row>19</xdr:row>
      <xdr:rowOff>91440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1D9A239-0909-90CF-7F9F-7979E53FBDC5}"/>
            </a:ext>
          </a:extLst>
        </xdr:cNvPr>
        <xdr:cNvSpPr txBox="1"/>
      </xdr:nvSpPr>
      <xdr:spPr>
        <a:xfrm>
          <a:off x="4625340" y="3238500"/>
          <a:ext cx="777240" cy="3048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400" b="1"/>
            <a:t>PERFIL: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D2C8A-A556-4E6F-B950-B05B99DDAE07}" name="Tabela1" displayName="Tabela1" ref="B3:E21" totalsRowShown="0" headerRowDxfId="1" dataDxfId="0">
  <autoFilter ref="B3:E21" xr:uid="{80ED2C8A-A556-4E6F-B950-B05B99DDAE07}"/>
  <tableColumns count="4">
    <tableColumn id="1" xr3:uid="{90C61A77-4F93-46FD-8F4A-AD86E6EBA830}" name="CHAVE" dataDxfId="5"/>
    <tableColumn id="2" xr3:uid="{B6DBE267-773C-4F66-9A37-B227D9ECB39D}" name="PERFIL" dataDxfId="4"/>
    <tableColumn id="3" xr3:uid="{DEC8D47D-3ACB-4572-9892-A2FC5EBC2689}" name="TIPO DE FII" dataDxfId="3"/>
    <tableColumn id="4" xr3:uid="{87320ABD-DD12-4109-ADE8-74F37F334F7E}" name="%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86A7-748A-4148-8BF1-A0C8B2DD4A1B}">
  <dimension ref="B2:H25"/>
  <sheetViews>
    <sheetView showGridLines="0" tabSelected="1" workbookViewId="0">
      <selection activeCell="K10" sqref="K10"/>
    </sheetView>
  </sheetViews>
  <sheetFormatPr defaultRowHeight="14.4" x14ac:dyDescent="0.3"/>
  <cols>
    <col min="1" max="1" width="1.33203125" customWidth="1"/>
    <col min="2" max="2" width="24" bestFit="1" customWidth="1"/>
    <col min="3" max="3" width="15.5546875" bestFit="1" customWidth="1"/>
    <col min="4" max="4" width="12.88671875" bestFit="1" customWidth="1"/>
    <col min="5" max="5" width="12.88671875" customWidth="1"/>
    <col min="6" max="6" width="29.21875" bestFit="1" customWidth="1"/>
    <col min="7" max="7" width="17.88671875" bestFit="1" customWidth="1"/>
    <col min="8" max="8" width="9" bestFit="1" customWidth="1"/>
  </cols>
  <sheetData>
    <row r="2" spans="2:8" ht="14.4" customHeight="1" x14ac:dyDescent="0.3">
      <c r="B2" s="1"/>
      <c r="C2" s="26" t="s">
        <v>5</v>
      </c>
      <c r="D2" s="40"/>
      <c r="E2" s="40"/>
      <c r="F2" s="40"/>
      <c r="G2" s="40"/>
      <c r="H2" s="40"/>
    </row>
    <row r="3" spans="2:8" ht="14.4" customHeight="1" x14ac:dyDescent="0.3">
      <c r="B3" s="1"/>
      <c r="C3" s="26"/>
      <c r="D3" s="40"/>
      <c r="E3" s="40"/>
      <c r="F3" s="40"/>
      <c r="G3" s="40"/>
      <c r="H3" s="40"/>
    </row>
    <row r="4" spans="2:8" ht="14.4" customHeight="1" x14ac:dyDescent="0.3">
      <c r="B4" s="1"/>
      <c r="C4" s="26"/>
      <c r="D4" s="40"/>
      <c r="E4" s="40"/>
      <c r="F4" s="40"/>
      <c r="G4" s="40"/>
      <c r="H4" s="40"/>
    </row>
    <row r="5" spans="2:8" ht="14.4" customHeight="1" x14ac:dyDescent="0.3">
      <c r="B5" s="1"/>
      <c r="C5" s="26"/>
      <c r="D5" s="40"/>
      <c r="E5" s="40"/>
      <c r="F5" s="40"/>
      <c r="G5" s="40"/>
      <c r="H5" s="40"/>
    </row>
    <row r="6" spans="2:8" ht="10.199999999999999" customHeight="1" thickBot="1" x14ac:dyDescent="0.35">
      <c r="B6" s="19"/>
      <c r="C6" s="20"/>
      <c r="D6" s="20"/>
      <c r="E6" s="20"/>
      <c r="F6" s="20"/>
    </row>
    <row r="7" spans="2:8" x14ac:dyDescent="0.3">
      <c r="B7" s="29" t="s">
        <v>14</v>
      </c>
      <c r="C7" s="30"/>
      <c r="F7" s="44" t="s">
        <v>16</v>
      </c>
      <c r="G7" s="41" t="s">
        <v>33</v>
      </c>
    </row>
    <row r="8" spans="2:8" x14ac:dyDescent="0.3">
      <c r="B8" s="4" t="s">
        <v>12</v>
      </c>
      <c r="C8" s="5">
        <v>2000</v>
      </c>
      <c r="F8" s="42" t="s">
        <v>46</v>
      </c>
      <c r="G8" s="43">
        <f>aporte</f>
        <v>200</v>
      </c>
    </row>
    <row r="9" spans="2:8" x14ac:dyDescent="0.3">
      <c r="B9" s="4" t="s">
        <v>11</v>
      </c>
      <c r="C9" s="6">
        <v>6.0000000000000001E-3</v>
      </c>
      <c r="F9" s="31"/>
      <c r="G9" s="31"/>
      <c r="H9" s="31"/>
    </row>
    <row r="10" spans="2:8" ht="15" thickBot="1" x14ac:dyDescent="0.35">
      <c r="B10" s="7" t="s">
        <v>13</v>
      </c>
      <c r="C10" s="8">
        <f>C8*30%</f>
        <v>600</v>
      </c>
      <c r="F10" s="45" t="s">
        <v>17</v>
      </c>
      <c r="G10" s="45" t="s">
        <v>47</v>
      </c>
      <c r="H10" s="45" t="s">
        <v>48</v>
      </c>
    </row>
    <row r="11" spans="2:8" ht="15" thickBot="1" x14ac:dyDescent="0.35">
      <c r="F11" s="46" t="s">
        <v>21</v>
      </c>
      <c r="G11" s="47">
        <f>VLOOKUP($G$7&amp;"-"&amp;F11,Suporte!B:E,4,FALSE)</f>
        <v>0.32</v>
      </c>
      <c r="H11" s="48">
        <f>G11*$G$8</f>
        <v>64</v>
      </c>
    </row>
    <row r="12" spans="2:8" x14ac:dyDescent="0.3">
      <c r="B12" s="27" t="s">
        <v>6</v>
      </c>
      <c r="C12" s="28"/>
      <c r="F12" s="46" t="s">
        <v>23</v>
      </c>
      <c r="G12" s="47">
        <f>VLOOKUP($G$7&amp;"-"&amp;F12,Suporte!B:E,4,FALSE)</f>
        <v>0.35</v>
      </c>
      <c r="H12" s="48">
        <f t="shared" ref="H12:H16" si="0">G12*$G$8</f>
        <v>70</v>
      </c>
    </row>
    <row r="13" spans="2:8" x14ac:dyDescent="0.3">
      <c r="B13" s="9" t="s">
        <v>0</v>
      </c>
      <c r="C13" s="10">
        <v>200</v>
      </c>
      <c r="F13" s="46" t="s">
        <v>25</v>
      </c>
      <c r="G13" s="47">
        <f>VLOOKUP($G$7&amp;"-"&amp;F13,Suporte!B:E,4,FALSE)</f>
        <v>0.08</v>
      </c>
      <c r="H13" s="48">
        <f t="shared" si="0"/>
        <v>16</v>
      </c>
    </row>
    <row r="14" spans="2:8" x14ac:dyDescent="0.3">
      <c r="B14" s="11" t="s">
        <v>1</v>
      </c>
      <c r="C14" s="12">
        <v>5</v>
      </c>
      <c r="F14" s="46" t="s">
        <v>27</v>
      </c>
      <c r="G14" s="47">
        <f>VLOOKUP($G$7&amp;"-"&amp;F14,Suporte!B:E,4,FALSE)</f>
        <v>0.05</v>
      </c>
      <c r="H14" s="48">
        <f t="shared" si="0"/>
        <v>10</v>
      </c>
    </row>
    <row r="15" spans="2:8" x14ac:dyDescent="0.3">
      <c r="B15" s="11" t="s">
        <v>2</v>
      </c>
      <c r="C15" s="13">
        <v>1.0800000000000001E-2</v>
      </c>
      <c r="F15" s="46" t="s">
        <v>29</v>
      </c>
      <c r="G15" s="47">
        <f>VLOOKUP($G$7&amp;"-"&amp;F15,Suporte!B:E,4,FALSE)</f>
        <v>0.1</v>
      </c>
      <c r="H15" s="48">
        <f t="shared" si="0"/>
        <v>20</v>
      </c>
    </row>
    <row r="16" spans="2:8" x14ac:dyDescent="0.3">
      <c r="B16" s="14" t="s">
        <v>3</v>
      </c>
      <c r="C16" s="15">
        <f>FV(C15,C14*12,C13*-1)</f>
        <v>16760.803871851687</v>
      </c>
      <c r="F16" s="46" t="s">
        <v>31</v>
      </c>
      <c r="G16" s="47">
        <f>VLOOKUP($G$7&amp;"-"&amp;F16,Suporte!B:E,4,FALSE)</f>
        <v>0.1</v>
      </c>
      <c r="H16" s="48">
        <f t="shared" si="0"/>
        <v>20</v>
      </c>
    </row>
    <row r="17" spans="2:8" ht="15" thickBot="1" x14ac:dyDescent="0.35">
      <c r="B17" s="16" t="s">
        <v>4</v>
      </c>
      <c r="C17" s="17">
        <f>C16*1%</f>
        <v>167.60803871851687</v>
      </c>
      <c r="F17" s="49"/>
      <c r="G17" s="54">
        <f>SUM(G11:G16)</f>
        <v>0.99999999999999989</v>
      </c>
      <c r="H17" s="50">
        <f>SUM(H11:H16)</f>
        <v>200</v>
      </c>
    </row>
    <row r="18" spans="2:8" ht="15" thickBot="1" x14ac:dyDescent="0.35"/>
    <row r="19" spans="2:8" x14ac:dyDescent="0.3">
      <c r="B19" s="21" t="s">
        <v>9</v>
      </c>
      <c r="C19" s="22"/>
      <c r="D19" s="23"/>
    </row>
    <row r="20" spans="2:8" x14ac:dyDescent="0.3">
      <c r="B20" s="51" t="s">
        <v>7</v>
      </c>
      <c r="C20" s="52" t="s">
        <v>8</v>
      </c>
      <c r="D20" s="53" t="s">
        <v>10</v>
      </c>
    </row>
    <row r="21" spans="2:8" x14ac:dyDescent="0.3">
      <c r="B21" s="24">
        <v>2</v>
      </c>
      <c r="C21" s="3">
        <f>FV($C$15,B21*12,$C$13*-1)</f>
        <v>5446.172732116318</v>
      </c>
      <c r="D21" s="5">
        <f>C21*rend_carteira</f>
        <v>32.677036392697907</v>
      </c>
    </row>
    <row r="22" spans="2:8" x14ac:dyDescent="0.3">
      <c r="B22" s="24">
        <v>5</v>
      </c>
      <c r="C22" s="3">
        <f>FV($C$15,B22*12,$C$13*-1)</f>
        <v>16760.803871851687</v>
      </c>
      <c r="D22" s="5">
        <f>C22*rend_carteira</f>
        <v>100.56482323111013</v>
      </c>
    </row>
    <row r="23" spans="2:8" x14ac:dyDescent="0.3">
      <c r="B23" s="24">
        <v>10</v>
      </c>
      <c r="C23" s="3">
        <f>FV($C$15,B23*12,$C$13*-1)</f>
        <v>48691.533250960019</v>
      </c>
      <c r="D23" s="5">
        <f>C23*rend_carteira</f>
        <v>292.14919950576012</v>
      </c>
    </row>
    <row r="24" spans="2:8" x14ac:dyDescent="0.3">
      <c r="B24" s="24">
        <v>20</v>
      </c>
      <c r="C24" s="3">
        <f>FV($C$15,B24*12,$C$13*-1)</f>
        <v>225409.79865970465</v>
      </c>
      <c r="D24" s="5">
        <f>C24*rend_carteira</f>
        <v>1352.4587919582279</v>
      </c>
      <c r="E24" s="2"/>
    </row>
    <row r="25" spans="2:8" ht="15" thickBot="1" x14ac:dyDescent="0.35">
      <c r="B25" s="25">
        <v>30</v>
      </c>
      <c r="C25" s="18">
        <f>FV($C$15,B25*12,$C$13*-1)</f>
        <v>866780.96206335025</v>
      </c>
      <c r="D25" s="5">
        <f>C25*rend_carteira</f>
        <v>5200.6857723801013</v>
      </c>
      <c r="E25" s="2"/>
    </row>
  </sheetData>
  <mergeCells count="3">
    <mergeCell ref="B12:C12"/>
    <mergeCell ref="B7:C7"/>
    <mergeCell ref="C2:H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FA7414-4036-4818-A785-AD550A90D317}">
          <x14:formula1>
            <xm:f>Suporte!$C$4:$C$21</xm:f>
          </x14:formula1>
          <xm:sqref>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33A4-C6C4-44C9-A215-A9771606E53A}">
  <dimension ref="B3:E21"/>
  <sheetViews>
    <sheetView workbookViewId="0">
      <selection activeCell="I9" sqref="I9"/>
    </sheetView>
  </sheetViews>
  <sheetFormatPr defaultRowHeight="14.4" x14ac:dyDescent="0.3"/>
  <cols>
    <col min="2" max="2" width="28.77734375" bestFit="1" customWidth="1"/>
    <col min="3" max="3" width="11.21875" bestFit="1" customWidth="1"/>
    <col min="4" max="4" width="17.6640625" bestFit="1" customWidth="1"/>
    <col min="5" max="5" width="7" bestFit="1" customWidth="1"/>
  </cols>
  <sheetData>
    <row r="3" spans="2:5" x14ac:dyDescent="0.3">
      <c r="B3" s="32" t="s">
        <v>15</v>
      </c>
      <c r="C3" s="32" t="s">
        <v>16</v>
      </c>
      <c r="D3" s="33" t="s">
        <v>17</v>
      </c>
      <c r="E3" s="33" t="s">
        <v>18</v>
      </c>
    </row>
    <row r="4" spans="2:5" x14ac:dyDescent="0.3">
      <c r="B4" s="34" t="s">
        <v>19</v>
      </c>
      <c r="C4" s="34" t="s">
        <v>20</v>
      </c>
      <c r="D4" s="35" t="s">
        <v>21</v>
      </c>
      <c r="E4" s="36">
        <v>0.3</v>
      </c>
    </row>
    <row r="5" spans="2:5" x14ac:dyDescent="0.3">
      <c r="B5" s="34" t="s">
        <v>22</v>
      </c>
      <c r="C5" s="34" t="s">
        <v>20</v>
      </c>
      <c r="D5" s="35" t="s">
        <v>23</v>
      </c>
      <c r="E5" s="36">
        <v>0.5</v>
      </c>
    </row>
    <row r="6" spans="2:5" x14ac:dyDescent="0.3">
      <c r="B6" s="34" t="s">
        <v>24</v>
      </c>
      <c r="C6" s="34" t="s">
        <v>20</v>
      </c>
      <c r="D6" s="35" t="s">
        <v>25</v>
      </c>
      <c r="E6" s="36">
        <v>0.1</v>
      </c>
    </row>
    <row r="7" spans="2:5" x14ac:dyDescent="0.3">
      <c r="B7" s="34" t="s">
        <v>26</v>
      </c>
      <c r="C7" s="34" t="s">
        <v>20</v>
      </c>
      <c r="D7" s="35" t="s">
        <v>27</v>
      </c>
      <c r="E7" s="36">
        <v>0.1</v>
      </c>
    </row>
    <row r="8" spans="2:5" x14ac:dyDescent="0.3">
      <c r="B8" s="34" t="s">
        <v>28</v>
      </c>
      <c r="C8" s="34" t="s">
        <v>20</v>
      </c>
      <c r="D8" s="35" t="s">
        <v>29</v>
      </c>
      <c r="E8" s="36">
        <v>0</v>
      </c>
    </row>
    <row r="9" spans="2:5" ht="15" thickBot="1" x14ac:dyDescent="0.35">
      <c r="B9" s="37" t="s">
        <v>30</v>
      </c>
      <c r="C9" s="37" t="s">
        <v>20</v>
      </c>
      <c r="D9" s="38" t="s">
        <v>31</v>
      </c>
      <c r="E9" s="39">
        <v>0</v>
      </c>
    </row>
    <row r="10" spans="2:5" x14ac:dyDescent="0.3">
      <c r="B10" s="34" t="s">
        <v>32</v>
      </c>
      <c r="C10" s="34" t="s">
        <v>33</v>
      </c>
      <c r="D10" s="35" t="s">
        <v>21</v>
      </c>
      <c r="E10" s="36">
        <v>0.32</v>
      </c>
    </row>
    <row r="11" spans="2:5" x14ac:dyDescent="0.3">
      <c r="B11" s="34" t="s">
        <v>34</v>
      </c>
      <c r="C11" s="34" t="s">
        <v>33</v>
      </c>
      <c r="D11" s="35" t="s">
        <v>23</v>
      </c>
      <c r="E11" s="36">
        <v>0.35</v>
      </c>
    </row>
    <row r="12" spans="2:5" x14ac:dyDescent="0.3">
      <c r="B12" s="34" t="s">
        <v>35</v>
      </c>
      <c r="C12" s="34" t="s">
        <v>33</v>
      </c>
      <c r="D12" s="35" t="s">
        <v>25</v>
      </c>
      <c r="E12" s="36">
        <v>0.08</v>
      </c>
    </row>
    <row r="13" spans="2:5" x14ac:dyDescent="0.3">
      <c r="B13" s="34" t="s">
        <v>36</v>
      </c>
      <c r="C13" s="34" t="s">
        <v>33</v>
      </c>
      <c r="D13" s="35" t="s">
        <v>27</v>
      </c>
      <c r="E13" s="36">
        <v>0.05</v>
      </c>
    </row>
    <row r="14" spans="2:5" x14ac:dyDescent="0.3">
      <c r="B14" s="34" t="s">
        <v>37</v>
      </c>
      <c r="C14" s="34" t="s">
        <v>33</v>
      </c>
      <c r="D14" s="35" t="s">
        <v>29</v>
      </c>
      <c r="E14" s="36">
        <v>0.1</v>
      </c>
    </row>
    <row r="15" spans="2:5" ht="15" thickBot="1" x14ac:dyDescent="0.35">
      <c r="B15" s="37" t="s">
        <v>38</v>
      </c>
      <c r="C15" s="37" t="s">
        <v>33</v>
      </c>
      <c r="D15" s="38" t="s">
        <v>31</v>
      </c>
      <c r="E15" s="39">
        <v>0.1</v>
      </c>
    </row>
    <row r="16" spans="2:5" x14ac:dyDescent="0.3">
      <c r="B16" s="34" t="s">
        <v>39</v>
      </c>
      <c r="C16" s="34" t="s">
        <v>40</v>
      </c>
      <c r="D16" s="35" t="s">
        <v>21</v>
      </c>
      <c r="E16" s="36">
        <v>0.5</v>
      </c>
    </row>
    <row r="17" spans="2:5" x14ac:dyDescent="0.3">
      <c r="B17" s="34" t="s">
        <v>41</v>
      </c>
      <c r="C17" s="34" t="s">
        <v>40</v>
      </c>
      <c r="D17" s="35" t="s">
        <v>23</v>
      </c>
      <c r="E17" s="36">
        <v>0.1</v>
      </c>
    </row>
    <row r="18" spans="2:5" x14ac:dyDescent="0.3">
      <c r="B18" s="34" t="s">
        <v>42</v>
      </c>
      <c r="C18" s="34" t="s">
        <v>40</v>
      </c>
      <c r="D18" s="35" t="s">
        <v>25</v>
      </c>
      <c r="E18" s="36">
        <v>0.05</v>
      </c>
    </row>
    <row r="19" spans="2:5" x14ac:dyDescent="0.3">
      <c r="B19" s="34" t="s">
        <v>43</v>
      </c>
      <c r="C19" s="34" t="s">
        <v>40</v>
      </c>
      <c r="D19" s="35" t="s">
        <v>27</v>
      </c>
      <c r="E19" s="36">
        <v>0.05</v>
      </c>
    </row>
    <row r="20" spans="2:5" x14ac:dyDescent="0.3">
      <c r="B20" s="34" t="s">
        <v>44</v>
      </c>
      <c r="C20" s="34" t="s">
        <v>40</v>
      </c>
      <c r="D20" s="35" t="s">
        <v>29</v>
      </c>
      <c r="E20" s="36">
        <v>0.2</v>
      </c>
    </row>
    <row r="21" spans="2:5" x14ac:dyDescent="0.3">
      <c r="B21" s="34" t="s">
        <v>45</v>
      </c>
      <c r="C21" s="34" t="s">
        <v>40</v>
      </c>
      <c r="D21" s="35" t="s">
        <v>31</v>
      </c>
      <c r="E21" s="36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APP</vt:lpstr>
      <vt:lpstr>Suporte</vt:lpstr>
      <vt:lpstr>anos_invest</vt:lpstr>
      <vt:lpstr>aporte</vt:lpstr>
      <vt:lpstr>rend_carteira</vt:lpstr>
      <vt:lpstr>sug_invest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Santos</dc:creator>
  <cp:lastModifiedBy>Andressa Santos</cp:lastModifiedBy>
  <dcterms:created xsi:type="dcterms:W3CDTF">2026-09-11T10:33:01Z</dcterms:created>
  <dcterms:modified xsi:type="dcterms:W3CDTF">2026-09-23T10:41:40Z</dcterms:modified>
</cp:coreProperties>
</file>